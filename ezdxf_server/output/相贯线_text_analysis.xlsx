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<sst xmlns="http://schemas.openxmlformats.org/spreadsheetml/2006/main" count="26" uniqueCount="26">
  <si>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相贯线.dxf</t>
  </si>
  <si>
    <t>零件号</t>
  </si>
  <si>
    <t>规格</t>
  </si>
  <si>
    <t>长度</t>
  </si>
  <si>
    <t>数量</t>
  </si>
  <si>
    <t>单重</t>
  </si>
  <si>
    <t>总重</t>
  </si>
  <si>
    <t>孔</t>
  </si>
  <si>
    <t>1O1</t>
  </si>
  <si>
    <t>PIP50*3</t>
  </si>
  <si>
    <t>1O4</t>
  </si>
  <si>
    <t>1O5</t>
  </si>
  <si>
    <t>1O6</t>
  </si>
  <si>
    <t>1O7</t>
  </si>
  <si>
    <t>1O8</t>
  </si>
  <si>
    <t>1O9</t>
  </si>
  <si>
    <t>1O10</t>
  </si>
  <si>
    <t>1O11</t>
  </si>
  <si>
    <t>1O12</t>
  </si>
  <si>
    <t>1O13</t>
  </si>
  <si>
    <t>1O14</t>
  </si>
  <si>
    <t>1O16</t>
  </si>
  <si>
    <t>1O59</t>
  </si>
  <si>
    <t>1O60</t>
  </si>
  <si>
    <t>1O15</t>
  </si>
  <si>
    <t>1O17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</si>
</sst>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45" zoomScaleNormal="145" workbookViewId="0">
      <selection activeCell="G21" sqref="A1:G21"/>
    </sheetView>
  </sheetViews>
  <sheetFormatPr defaultColWidth="9" defaultRowHeight="13.5" outlineLevelCol="6"/>
  <cols>
    <col min="1" max="1" width="9" customWidth="1"/>
    <col min="2" max="2" width="16.25" customWidth="1"/>
    <col min="3" max="4" width="6" customWidth="1"/>
    <col min="5" max="5" width="19.4" customWidth="1"/>
    <col min="6" max="7" width="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</row>
    <row r="5" spans="1:7">
      <c r="A5" s="3" t="s">
        <v>8</v>
      </c>
      <c r="B5" s="3" t="s">
        <v>9</v>
      </c>
      <c r="C5" s="3">
        <v>1050</v>
      </c>
      <c r="D5" s="3">
        <v>1</v>
      </c>
      <c r="E5" s="3">
        <f>ROUND((PI()/4)*((50^2)-(50-2*3)^2)*7.85/1000*C5/1000,2)</f>
        <v>3.65</v>
      </c>
      <c r="F5" s="3">
        <f>E5*D5</f>
        <v>3.65</v>
      </c>
      <c r="G5" s="3">
        <v>6</v>
      </c>
    </row>
    <row r="6" spans="1:7">
      <c r="A6" s="3" t="s">
        <v>10</v>
      </c>
      <c r="B6" s="3" t="str">
        <f>B5</f>
        <v>PIP50*3</v>
      </c>
      <c r="C6" s="3">
        <v>1040</v>
      </c>
      <c r="D6" s="3">
        <v>1</v>
      </c>
      <c r="E6" s="3">
        <f t="shared" ref="E6:E21" si="0">ROUND((PI()/4)*((50^2)-(50-2*3)^2)*7.85/1000*C6/1000,2)</f>
        <v>3.62</v>
      </c>
      <c r="F6" s="3">
        <f t="shared" ref="F6:F21" si="1">E6*D6</f>
        <v>3.62</v>
      </c>
      <c r="G6" s="3">
        <v>6</v>
      </c>
    </row>
    <row r="7" spans="1:7">
      <c r="A7" s="3" t="s">
        <v>11</v>
      </c>
      <c r="B7" s="3" t="str">
        <f t="shared" ref="B7:B21" si="2">B6</f>
        <v>PIP50*3</v>
      </c>
      <c r="C7" s="3">
        <v>1100</v>
      </c>
      <c r="D7" s="3">
        <v>2</v>
      </c>
      <c r="E7" s="3">
        <f t="shared" si="0"/>
        <v>3.82</v>
      </c>
      <c r="F7" s="3">
        <f t="shared" si="1"/>
        <v>7.64</v>
      </c>
      <c r="G7" s="3">
        <v>6</v>
      </c>
    </row>
    <row r="8" spans="1:7">
      <c r="A8" s="3" t="s">
        <v>12</v>
      </c>
      <c r="B8" s="3" t="str">
        <f t="shared" si="2"/>
        <v>PIP50*3</v>
      </c>
      <c r="C8" s="3">
        <v>1100</v>
      </c>
      <c r="D8" s="3">
        <v>1</v>
      </c>
      <c r="E8" s="3">
        <f t="shared" si="0"/>
        <v>3.82</v>
      </c>
      <c r="F8" s="3">
        <f t="shared" si="1"/>
        <v>3.82</v>
      </c>
      <c r="G8" s="3">
        <v>6</v>
      </c>
    </row>
    <row r="9" spans="1:7">
      <c r="A9" s="3" t="s">
        <v>13</v>
      </c>
      <c r="B9" s="3" t="str">
        <f t="shared" si="2"/>
        <v>PIP50*3</v>
      </c>
      <c r="C9" s="3">
        <v>481</v>
      </c>
      <c r="D9" s="3">
        <v>1</v>
      </c>
      <c r="E9" s="3">
        <f t="shared" si="0"/>
        <v>1.67</v>
      </c>
      <c r="F9" s="3">
        <f t="shared" si="1"/>
        <v>1.67</v>
      </c>
      <c r="G9" s="3">
        <v>3</v>
      </c>
    </row>
    <row r="10" spans="1:7">
      <c r="A10" s="3" t="s">
        <v>14</v>
      </c>
      <c r="B10" s="3" t="str">
        <f t="shared" si="2"/>
        <v>PIP50*3</v>
      </c>
      <c r="C10" s="3">
        <v>1050</v>
      </c>
      <c r="D10" s="3">
        <v>7</v>
      </c>
      <c r="E10" s="3">
        <f t="shared" si="0"/>
        <v>3.65</v>
      </c>
      <c r="F10" s="3">
        <f t="shared" si="1"/>
        <v>25.55</v>
      </c>
      <c r="G10" s="3">
        <v>2</v>
      </c>
    </row>
    <row r="11" spans="1:7">
      <c r="A11" s="3" t="s">
        <v>15</v>
      </c>
      <c r="B11" s="3" t="str">
        <f t="shared" si="2"/>
        <v>PIP50*3</v>
      </c>
      <c r="C11" s="3">
        <v>1100</v>
      </c>
      <c r="D11" s="3">
        <v>1</v>
      </c>
      <c r="E11" s="3">
        <f t="shared" si="0"/>
        <v>3.82</v>
      </c>
      <c r="F11" s="3">
        <f t="shared" si="1"/>
        <v>3.82</v>
      </c>
      <c r="G11" s="3">
        <v>6</v>
      </c>
    </row>
    <row r="12" spans="1:7">
      <c r="A12" s="3" t="s">
        <v>16</v>
      </c>
      <c r="B12" s="3" t="str">
        <f t="shared" si="2"/>
        <v>PIP50*3</v>
      </c>
      <c r="C12" s="3">
        <v>948</v>
      </c>
      <c r="D12" s="3">
        <v>1</v>
      </c>
      <c r="E12" s="3">
        <f t="shared" si="0"/>
        <v>3.3</v>
      </c>
      <c r="F12" s="3">
        <f t="shared" si="1"/>
        <v>3.3</v>
      </c>
      <c r="G12" s="3">
        <v>2</v>
      </c>
    </row>
    <row r="13" spans="1:7">
      <c r="A13" s="3" t="s">
        <v>17</v>
      </c>
      <c r="B13" s="3" t="str">
        <f t="shared" si="2"/>
        <v>PIP50*3</v>
      </c>
      <c r="C13" s="3">
        <v>925</v>
      </c>
      <c r="D13" s="3">
        <v>2</v>
      </c>
      <c r="E13" s="3">
        <f t="shared" si="0"/>
        <v>3.22</v>
      </c>
      <c r="F13" s="3">
        <f t="shared" si="1"/>
        <v>6.44</v>
      </c>
      <c r="G13" s="3">
        <v>2</v>
      </c>
    </row>
    <row r="14" spans="1:7">
      <c r="A14" s="3" t="s">
        <v>18</v>
      </c>
      <c r="B14" s="3" t="str">
        <f t="shared" si="2"/>
        <v>PIP50*3</v>
      </c>
      <c r="C14" s="3">
        <v>1025</v>
      </c>
      <c r="D14" s="3">
        <v>1</v>
      </c>
      <c r="E14" s="3">
        <f t="shared" si="0"/>
        <v>3.56</v>
      </c>
      <c r="F14" s="3">
        <f t="shared" si="1"/>
        <v>3.56</v>
      </c>
      <c r="G14" s="3">
        <v>6</v>
      </c>
    </row>
    <row r="15" spans="1:7">
      <c r="A15" s="3" t="s">
        <v>19</v>
      </c>
      <c r="B15" s="3" t="str">
        <f t="shared" si="2"/>
        <v>PIP50*3</v>
      </c>
      <c r="C15" s="3">
        <v>1090</v>
      </c>
      <c r="D15" s="3">
        <v>1</v>
      </c>
      <c r="E15" s="3">
        <f t="shared" si="0"/>
        <v>3.79</v>
      </c>
      <c r="F15" s="3">
        <f t="shared" si="1"/>
        <v>3.79</v>
      </c>
      <c r="G15" s="3">
        <v>2</v>
      </c>
    </row>
    <row r="16" spans="1:7">
      <c r="A16" s="3" t="s">
        <v>20</v>
      </c>
      <c r="B16" s="3" t="str">
        <f t="shared" si="2"/>
        <v>PIP50*3</v>
      </c>
      <c r="C16" s="3">
        <v>1040</v>
      </c>
      <c r="D16" s="3">
        <v>3</v>
      </c>
      <c r="E16" s="3">
        <f t="shared" si="0"/>
        <v>3.62</v>
      </c>
      <c r="F16" s="3">
        <f t="shared" si="1"/>
        <v>10.86</v>
      </c>
      <c r="G16" s="3">
        <v>6</v>
      </c>
    </row>
    <row r="17" spans="1:7">
      <c r="A17" s="3" t="s">
        <v>21</v>
      </c>
      <c r="B17" s="3" t="str">
        <f t="shared" si="2"/>
        <v>PIP50*3</v>
      </c>
      <c r="C17" s="3">
        <v>825</v>
      </c>
      <c r="D17" s="3">
        <v>2</v>
      </c>
      <c r="E17" s="3">
        <f t="shared" si="0"/>
        <v>2.87</v>
      </c>
      <c r="F17" s="3">
        <f t="shared" si="1"/>
        <v>5.74</v>
      </c>
      <c r="G17" s="3">
        <v>6</v>
      </c>
    </row>
    <row r="18" spans="1:7">
      <c r="A18" s="3" t="s">
        <v>22</v>
      </c>
      <c r="B18" s="3" t="str">
        <f t="shared" si="2"/>
        <v>PIP50*3</v>
      </c>
      <c r="C18" s="3">
        <v>1050</v>
      </c>
      <c r="D18" s="3">
        <v>245</v>
      </c>
      <c r="E18" s="3">
        <f t="shared" si="0"/>
        <v>3.65</v>
      </c>
      <c r="F18" s="3">
        <f t="shared" si="1"/>
        <v>894.25</v>
      </c>
      <c r="G18" s="3">
        <v>6</v>
      </c>
    </row>
    <row r="19" spans="1:7">
      <c r="A19" s="3" t="s">
        <v>23</v>
      </c>
      <c r="B19" s="3" t="str">
        <f t="shared" si="2"/>
        <v>PIP50*3</v>
      </c>
      <c r="C19" s="3">
        <v>1100</v>
      </c>
      <c r="D19" s="3">
        <v>311</v>
      </c>
      <c r="E19" s="3">
        <f t="shared" si="0"/>
        <v>3.82</v>
      </c>
      <c r="F19" s="3">
        <f t="shared" si="1"/>
        <v>1188.02</v>
      </c>
      <c r="G19" s="3">
        <v>6</v>
      </c>
    </row>
    <row r="20" spans="1:7">
      <c r="A20" s="3" t="s">
        <v>24</v>
      </c>
      <c r="B20" s="3" t="str">
        <f t="shared" si="2"/>
        <v>PIP50*3</v>
      </c>
      <c r="C20" s="3">
        <v>1040</v>
      </c>
      <c r="D20" s="3">
        <v>5</v>
      </c>
      <c r="E20" s="3">
        <f t="shared" si="0"/>
        <v>3.62</v>
      </c>
      <c r="F20" s="3">
        <f t="shared" si="1"/>
        <v>18.1</v>
      </c>
      <c r="G20" s="3">
        <v>4</v>
      </c>
    </row>
    <row r="21" spans="1:7">
      <c r="A21" s="3" t="s">
        <v>25</v>
      </c>
      <c r="B21" s="3" t="str">
        <f t="shared" si="2"/>
        <v>PIP50*3</v>
      </c>
      <c r="C21" s="3">
        <v>1040</v>
      </c>
      <c r="D21" s="3">
        <v>1</v>
      </c>
      <c r="E21" s="3">
        <f t="shared" si="0"/>
        <v>3.62</v>
      </c>
      <c r="F21" s="3">
        <f t="shared" si="1"/>
        <v>3.62</v>
      </c>
      <c r="G21" s="3">
        <v>4</v>
      </c>
    </row>
    <row r="22" spans="4:7">
      <c r="D22">
        <f>SUM(D5:D21)</f>
        <v>586</v>
      </c>
      <c r="F22">
        <f>SUM(F5:F21)</f>
        <v>2187.45</v>
      </c>
      <c r="G22">
        <f>SUM(G5:G21)</f>
        <v>79</v>
      </c>
    </row>
  </sheetData>
  <mergeCells count="1">
    <mergeCell ref="A1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2025-11-01T05:52:00Z</dcterms:created>
  <dcterms:modified xsi:type="dcterms:W3CDTF">2025-11-01T06:06:30Z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9AD0306B43D2457EBF8F02B370C58ECB_12</vt:lpwstr>
  </property>
  <property fmtid="{D5CDD505-2E9C-101B-9397-08002B2CF9AE}" pid="3" name="KSOProductBuildVer">
    <vt:lpwstr>2052-12.1.0.23125</vt:lpwstr>
  </property>
</Properties>
</file>